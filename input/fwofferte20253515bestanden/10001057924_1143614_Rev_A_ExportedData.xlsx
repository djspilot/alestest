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4ba44398f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s" sheetId="1" r:id="Re1ceda3a48ac438d"/>
    <x:sheet xmlns:r="http://schemas.openxmlformats.org/officeDocument/2006/relationships" name="Documents" sheetId="2" r:id="R375b813f21d54b4a"/>
    <x:sheet xmlns:r="http://schemas.openxmlformats.org/officeDocument/2006/relationships" name="CAD Documents" sheetId="3" r:id="Rfae07c828eaa4e13"/>
    <x:sheet xmlns:r="http://schemas.openxmlformats.org/officeDocument/2006/relationships" name="Bill of Material" sheetId="4" r:id="R73da31ad84894f6d"/>
    <x:sheet xmlns:r="http://schemas.openxmlformats.org/officeDocument/2006/relationships" name="Bill of Document" sheetId="5" r:id="R2c46a156eab2489c"/>
  </x:sheets>
</x:workbook>
</file>

<file path=xl/styles.xml><?xml version="1.0" encoding="utf-8"?>
<x:styleSheet xmlns:x="http://schemas.openxmlformats.org/spreadsheetml/2006/main">
  <x:numFmts count="1">
    <x:numFmt numFmtId="164" formatCode="#,##0.0??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3" fontId="0" fillId="0" borderId="0" xfId="0" applyNumberFormat="1"/>
    <x:xf numFmtId="4" fontId="0" fillId="0" borderId="0" xfId="0" applyNumberFormat="1"/>
    <x:xf numFmtId="164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de87335594fd7" /><Relationship Type="http://schemas.openxmlformats.org/officeDocument/2006/relationships/worksheet" Target="/xl/worksheets/sheet1.xml" Id="Re1ceda3a48ac438d" /><Relationship Type="http://schemas.openxmlformats.org/officeDocument/2006/relationships/worksheet" Target="/xl/worksheets/sheet2.xml" Id="R375b813f21d54b4a" /><Relationship Type="http://schemas.openxmlformats.org/officeDocument/2006/relationships/worksheet" Target="/xl/worksheets/sheet3.xml" Id="Rfae07c828eaa4e13" /><Relationship Type="http://schemas.openxmlformats.org/officeDocument/2006/relationships/worksheet" Target="/xl/worksheets/sheet4.xml" Id="R73da31ad84894f6d" /><Relationship Type="http://schemas.openxmlformats.org/officeDocument/2006/relationships/worksheet" Target="/xl/worksheets/sheet5.xml" Id="R2c46a156eab2489c" /></Relationships>
</file>

<file path=xl/worksheets/sheet1.xml><?xml version="1.0" encoding="utf-8"?>
<x:worksheet xmlns:x="http://schemas.openxmlformats.org/spreadsheetml/2006/main">
  <x:sheetData>
    <x:row r="1">
      <x:c r="A1" t="str">
        <x:v>Part Type</x:v>
      </x:c>
      <x:c r="B1" t="str">
        <x:v>Number</x:v>
      </x:c>
      <x:c r="C1" t="str">
        <x:v>Name</x:v>
      </x:c>
      <x:c r="D1" t="str">
        <x:v>Revision</x:v>
      </x:c>
      <x:c r="E1" t="str">
        <x:v>State</x:v>
      </x:c>
      <x:c r="F1" t="str">
        <x:v>Unit</x:v>
      </x:c>
      <x:c r="G1" t="str">
        <x:v>Food Contact Material</x:v>
      </x:c>
      <x:c r="H1" t="str">
        <x:v>Material Execution</x:v>
      </x:c>
      <x:c r="I1" t="str">
        <x:v>Material</x:v>
      </x:c>
      <x:c r="J1" t="str">
        <x:v>Surface Treatment</x:v>
      </x:c>
      <x:c r="K1" t="str">
        <x:v>PO Text</x:v>
      </x:c>
    </x:row>
    <x:row r="2">
      <x:c r="A2" t="str">
        <x:v>Component</x:v>
      </x:c>
      <x:c r="B2" t="str">
        <x:v>10001057924</x:v>
      </x:c>
      <x:c r="C2" t="str">
        <x:v>PA_CABINET PRESS UNIT RIGHT</x:v>
      </x:c>
      <x:c r="D2" t="str">
        <x:v>00</x:v>
      </x:c>
      <x:c r="E2" t="str">
        <x:v>Released</x:v>
      </x:c>
      <x:c r="F2" t="str">
        <x:v>EA</x:v>
      </x:c>
      <x:c r="G2" t="str">
        <x:v>False</x:v>
      </x:c>
      <x:c r="H2" t="str">
        <x:v/>
      </x:c>
      <x:c r="I2" t="str">
        <x:v/>
      </x:c>
      <x:c r="J2" t="str">
        <x:v>FINISH</x:v>
      </x:c>
      <x:c r="K2" t="str">
        <x:v/>
      </x:c>
    </x:row>
    <x:row r="3">
      <x:c r="A3" t="str">
        <x:v>Rademaker/Catalog Part</x:v>
      </x:c>
      <x:c r="B3" t="str">
        <x:v>C1050070</x:v>
      </x:c>
      <x:c r="C3" t="str">
        <x:v>PP_WELDING HINGE|ERI.80 SS</x:v>
      </x:c>
      <x:c r="D3" t="str">
        <x:v>00</x:v>
      </x:c>
      <x:c r="E3" t="str">
        <x:v>Released</x:v>
      </x:c>
      <x:c r="F3" t="str">
        <x:v>EA</x:v>
      </x:c>
      <x:c r="G3" t="str">
        <x:v>False</x:v>
      </x:c>
      <x:c r="H3" t="str">
        <x:v/>
      </x:c>
      <x:c r="I3" t="str">
        <x:v/>
      </x:c>
      <x:c r="J3" t="str">
        <x:v/>
      </x:c>
      <x:c r="K3" t="str">
        <x:v/>
      </x:c>
    </x:row>
    <x:row r="4">
      <x:c r="A4" t="str">
        <x:v>Component</x:v>
      </x:c>
      <x:c r="B4" t="str">
        <x:v>10000703900</x:v>
      </x:c>
      <x:c r="C4" t="str">
        <x:v>PT_DOOR STH2 1225x823x285</x:v>
      </x:c>
      <x:c r="D4" t="str">
        <x:v>00</x:v>
      </x:c>
      <x:c r="E4" t="str">
        <x:v>Released</x:v>
      </x:c>
      <x:c r="F4" t="str">
        <x:v>EA</x:v>
      </x:c>
      <x:c r="G4" t="str">
        <x:v>False</x:v>
      </x:c>
      <x:c r="H4" t="str">
        <x:v>CR_FINISH_2B</x:v>
      </x:c>
      <x:c r="I4" t="str">
        <x:v>AISI 304 DIN 1.4301</x:v>
      </x:c>
      <x:c r="J4" t="str">
        <x:v/>
      </x:c>
      <x:c r="K4" t="str">
        <x:v/>
      </x:c>
    </x:row>
    <x:row r="5">
      <x:c r="A5" t="str">
        <x:v>Component</x:v>
      </x:c>
      <x:c r="B5" t="str">
        <x:v>10000705057</x:v>
      </x:c>
      <x:c r="C5" t="str">
        <x:v>PT_SPACER D20 IDM6 T5 L35</x:v>
      </x:c>
      <x:c r="D5" t="str">
        <x:v>00</x:v>
      </x:c>
      <x:c r="E5" t="str">
        <x:v>Released</x:v>
      </x:c>
      <x:c r="F5" t="str">
        <x:v>EA</x:v>
      </x:c>
      <x:c r="G5" t="str">
        <x:v>False</x:v>
      </x:c>
      <x:c r="H5" t="str">
        <x:v/>
      </x:c>
      <x:c r="I5" t="str">
        <x:v>AISI 304 DIN 1.4301</x:v>
      </x:c>
      <x:c r="J5" t="str">
        <x:v/>
      </x:c>
      <x:c r="K5" t="str">
        <x:v/>
      </x:c>
    </x:row>
    <x:row r="6">
      <x:c r="A6" t="str">
        <x:v>Component</x:v>
      </x:c>
      <x:c r="B6" t="str">
        <x:v>10000707475</x:v>
      </x:c>
      <x:c r="C6" t="str">
        <x:v>PT_TUBE 40x40x2 L747.5</x:v>
      </x:c>
      <x:c r="D6" t="str">
        <x:v>00</x:v>
      </x:c>
      <x:c r="E6" t="str">
        <x:v>Released</x:v>
      </x:c>
      <x:c r="F6" t="str">
        <x:v>EA</x:v>
      </x:c>
      <x:c r="G6" t="str">
        <x:v>False</x:v>
      </x:c>
      <x:c r="H6" t="str">
        <x:v/>
      </x:c>
      <x:c r="I6" t="str">
        <x:v>AISI 304 DIN 1.4301</x:v>
      </x:c>
      <x:c r="J6" t="str">
        <x:v/>
      </x:c>
      <x:c r="K6" t="str">
        <x:v/>
      </x:c>
    </x:row>
    <x:row r="7">
      <x:c r="A7" t="str">
        <x:v>Component</x:v>
      </x:c>
      <x:c r="B7" t="str">
        <x:v>10000890089</x:v>
      </x:c>
      <x:c r="C7" t="str">
        <x:v>MP_BAR 40x20h11 L1200</x:v>
      </x:c>
      <x:c r="D7" t="str">
        <x:v>00</x:v>
      </x:c>
      <x:c r="E7" t="str">
        <x:v>Released</x:v>
      </x:c>
      <x:c r="F7" t="str">
        <x:v>EA</x:v>
      </x:c>
      <x:c r="G7" t="str">
        <x:v>False</x:v>
      </x:c>
      <x:c r="H7" t="str">
        <x:v/>
      </x:c>
      <x:c r="I7" t="str">
        <x:v>AISI 304 DIN 1.4301</x:v>
      </x:c>
      <x:c r="J7" t="str">
        <x:v/>
      </x:c>
      <x:c r="K7" t="str">
        <x:v/>
      </x:c>
    </x:row>
    <x:row r="8">
      <x:c r="A8" t="str">
        <x:v>Component</x:v>
      </x:c>
      <x:c r="B8" t="str">
        <x:v>10000890096</x:v>
      </x:c>
      <x:c r="C8" t="str">
        <x:v>MP_PLATE STH5 310x40</x:v>
      </x:c>
      <x:c r="D8" t="str">
        <x:v>00</x:v>
      </x:c>
      <x:c r="E8" t="str">
        <x:v>Released</x:v>
      </x:c>
      <x:c r="F8" t="str">
        <x:v>EA</x:v>
      </x:c>
      <x:c r="G8" t="str">
        <x:v>False</x:v>
      </x:c>
      <x:c r="H8" t="str">
        <x:v>CR_FINISH_2B</x:v>
      </x:c>
      <x:c r="I8" t="str">
        <x:v>AISI 304 DIN 1.4301</x:v>
      </x:c>
      <x:c r="J8" t="str">
        <x:v/>
      </x:c>
      <x:c r="K8" t="str">
        <x:v/>
      </x:c>
    </x:row>
    <x:row r="9">
      <x:c r="A9" t="str">
        <x:v>Component</x:v>
      </x:c>
      <x:c r="B9" t="str">
        <x:v>10001057925</x:v>
      </x:c>
      <x:c r="C9" t="str">
        <x:v>PT_CABINET STH5</x:v>
      </x:c>
      <x:c r="D9" t="str">
        <x:v>00</x:v>
      </x:c>
      <x:c r="E9" t="str">
        <x:v>Released</x:v>
      </x:c>
      <x:c r="F9" t="str">
        <x:v>EA</x:v>
      </x:c>
      <x:c r="G9" t="str">
        <x:v>False</x:v>
      </x:c>
      <x:c r="H9" t="str">
        <x:v>CR_FINISH_2B</x:v>
      </x:c>
      <x:c r="I9" t="str">
        <x:v>AISI 304 DIN 1.4301</x:v>
      </x:c>
      <x:c r="J9" t="str">
        <x:v/>
      </x:c>
      <x:c r="K9" t="str">
        <x:v/>
      </x:c>
    </x:row>
    <x:row r="10">
      <x:c r="A10" t="str">
        <x:v>Component</x:v>
      </x:c>
      <x:c r="B10" t="str">
        <x:v>10001059687</x:v>
      </x:c>
      <x:c r="C10" t="str">
        <x:v>PT_CABINET STH5</x:v>
      </x:c>
      <x:c r="D10" t="str">
        <x:v>00</x:v>
      </x:c>
      <x:c r="E10" t="str">
        <x:v>Released</x:v>
      </x:c>
      <x:c r="F10" t="str">
        <x:v>EA</x:v>
      </x:c>
      <x:c r="G10" t="str">
        <x:v>False</x:v>
      </x:c>
      <x:c r="H10" t="str">
        <x:v>CR_FINISH_2B</x:v>
      </x:c>
      <x:c r="I10" t="str">
        <x:v>AISI 304 DIN 1.4301</x:v>
      </x:c>
      <x:c r="J10" t="str">
        <x:v/>
      </x:c>
      <x:c r="K10" t="str">
        <x:v/>
      </x:c>
    </x:row>
    <x:row r="11">
      <x:c r="A11" t="str">
        <x:v>Component</x:v>
      </x:c>
      <x:c r="B11" t="str">
        <x:v>10001059694</x:v>
      </x:c>
      <x:c r="C11" t="str">
        <x:v>PT_CABINET STH5</x:v>
      </x:c>
      <x:c r="D11" t="str">
        <x:v>00</x:v>
      </x:c>
      <x:c r="E11" t="str">
        <x:v>Released</x:v>
      </x:c>
      <x:c r="F11" t="str">
        <x:v>EA</x:v>
      </x:c>
      <x:c r="G11" t="str">
        <x:v>False</x:v>
      </x:c>
      <x:c r="H11" t="str">
        <x:v>CR_FINISH_2B</x:v>
      </x:c>
      <x:c r="I11" t="str">
        <x:v>AISI 304 DIN 1.4301</x:v>
      </x:c>
      <x:c r="J11" t="str">
        <x:v/>
      </x:c>
      <x:c r="K11" t="str">
        <x:v/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Document Type</x:v>
      </x:c>
      <x:c r="B1" t="str">
        <x:v>Number</x:v>
      </x:c>
      <x:c r="C1" t="str">
        <x:v>Name</x:v>
      </x:c>
      <x:c r="D1" t="str">
        <x:v>Revision</x:v>
      </x:c>
      <x:c r="E1" t="str">
        <x:v>State</x:v>
      </x:c>
      <x:c r="F1" t="str">
        <x:v>Authoring Tool</x:v>
      </x:c>
      <x:c r="G1" t="str">
        <x:v>File Name in data package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CAD Type</x:v>
      </x:c>
      <x:c r="B1" t="str">
        <x:v>Number</x:v>
      </x:c>
      <x:c r="C1" t="str">
        <x:v>Name</x:v>
      </x:c>
      <x:c r="D1" t="str">
        <x:v>Revision</x:v>
      </x:c>
      <x:c r="E1" t="str">
        <x:v>State</x:v>
      </x:c>
      <x:c r="F1" t="str">
        <x:v>Authoring Tool</x:v>
      </x:c>
      <x:c r="G1" t="str">
        <x:v>File Name in data package</x:v>
      </x:c>
    </x:row>
    <x:row r="2">
      <x:c r="A2" t="str">
        <x:v>Mechanical/Assembly</x:v>
      </x:c>
      <x:c r="B2" t="str">
        <x:v>10001057924</x:v>
      </x:c>
      <x:c r="C2" t="str">
        <x:v>PA_CABINET PRESS UNIT RIGHT</x:v>
      </x:c>
      <x:c r="D2" t="str">
        <x:v>00</x:v>
      </x:c>
      <x:c r="E2" t="str">
        <x:v>Released</x:v>
      </x:c>
      <x:c r="F2" t="str">
        <x:v>SolidWorks</x:v>
      </x:c>
      <x:c r="G2" t="inlineStr">
        <x:f xml:space="preserve">HYPERLINK("./Contents/10001057924_Rev_00.step", "10001057924_Rev_00.step")</x:f>
        <x:v>10001057924_Rev_00.step</x:v>
      </x:c>
    </x:row>
    <x:row r="3">
      <x:c r="A3" t="str">
        <x:v>Mechanical/Assembly</x:v>
      </x:c>
      <x:c r="B3" t="str">
        <x:v>10001057924</x:v>
      </x:c>
      <x:c r="C3" t="str">
        <x:v>PA_CABINET PRESS UNIT RIGHT</x:v>
      </x:c>
      <x:c r="D3" t="str">
        <x:v>00</x:v>
      </x:c>
      <x:c r="E3" t="str">
        <x:v>Released</x:v>
      </x:c>
      <x:c r="F3" t="str">
        <x:v>SolidWorks</x:v>
      </x:c>
      <x:c r="G3" t="inlineStr">
        <x:f xml:space="preserve">HYPERLINK("./Contents/10001057924_000.easm", "10001057924_000.easm")</x:f>
        <x:v>10001057924_000.easm</x:v>
      </x:c>
    </x:row>
    <x:row r="4">
      <x:c r="A4" t="str">
        <x:v>Mechanical/Drawing</x:v>
      </x:c>
      <x:c r="B4" t="str">
        <x:v>10001057924</x:v>
      </x:c>
      <x:c r="C4" t="str">
        <x:v>PA_CABINET PRESS UNIT RIGHT</x:v>
      </x:c>
      <x:c r="D4" t="str">
        <x:v>00</x:v>
      </x:c>
      <x:c r="E4" t="str">
        <x:v>Released</x:v>
      </x:c>
      <x:c r="F4" t="str">
        <x:v>SolidWorks</x:v>
      </x:c>
      <x:c r="G4" t="inlineStr">
        <x:f xml:space="preserve">HYPERLINK("./Contents/10001057924_Rev_00_Mechanical!Drawing.pdf", "10001057924_Rev_00_Mechanical!Drawing.pdf")</x:f>
        <x:v>10001057924_Rev_00_Mechanical!Drawing.pdf</x:v>
      </x:c>
    </x:row>
    <x:row r="5">
      <x:c r="A5" t="str">
        <x:v>Mechanical/Assembly</x:v>
      </x:c>
      <x:c r="B5" t="str">
        <x:v>C1050070</x:v>
      </x:c>
      <x:c r="C5" t="str">
        <x:v>PP_WELDING HINGE|ERI.80 SS</x:v>
      </x:c>
      <x:c r="D5" t="str">
        <x:v>00</x:v>
      </x:c>
      <x:c r="E5" t="str">
        <x:v>Released</x:v>
      </x:c>
      <x:c r="F5" t="str">
        <x:v>SolidWorks</x:v>
      </x:c>
      <x:c r="G5" t="inlineStr">
        <x:f xml:space="preserve">HYPERLINK("./Contents/C1050070_Rev_00.step", "C1050070_Rev_00.step")</x:f>
        <x:v>C1050070_Rev_00.step</x:v>
      </x:c>
    </x:row>
    <x:row r="6">
      <x:c r="A6" t="str">
        <x:v>Mechanical/Assembly</x:v>
      </x:c>
      <x:c r="B6" t="str">
        <x:v>C1050070</x:v>
      </x:c>
      <x:c r="C6" t="str">
        <x:v>PP_WELDING HINGE|ERI.80 SS</x:v>
      </x:c>
      <x:c r="D6" t="str">
        <x:v>00</x:v>
      </x:c>
      <x:c r="E6" t="str">
        <x:v>Released</x:v>
      </x:c>
      <x:c r="F6" t="str">
        <x:v>SolidWorks</x:v>
      </x:c>
      <x:c r="G6" t="inlineStr">
        <x:f xml:space="preserve">HYPERLINK("./Contents/1050070.easm", "1050070.easm")</x:f>
        <x:v>1050070.easm</x:v>
      </x:c>
    </x:row>
    <x:row r="7">
      <x:c r="A7" t="str">
        <x:v>Mechanical/Part</x:v>
      </x:c>
      <x:c r="B7" t="str">
        <x:v>10000703900</x:v>
      </x:c>
      <x:c r="C7" t="str">
        <x:v>PT_DOOR STH2 1225x823x285</x:v>
      </x:c>
      <x:c r="D7" t="str">
        <x:v>00</x:v>
      </x:c>
      <x:c r="E7" t="str">
        <x:v>Released</x:v>
      </x:c>
      <x:c r="F7" t="str">
        <x:v>SolidWorks</x:v>
      </x:c>
      <x:c r="G7" t="inlineStr">
        <x:f xml:space="preserve">HYPERLINK("./Contents/10000703900_Rev_00.step", "10000703900_Rev_00.step")</x:f>
        <x:v>10000703900_Rev_00.step</x:v>
      </x:c>
    </x:row>
    <x:row r="8">
      <x:c r="A8" t="str">
        <x:v>Mechanical/Drawing</x:v>
      </x:c>
      <x:c r="B8" t="str">
        <x:v>10000703900</x:v>
      </x:c>
      <x:c r="C8" t="str">
        <x:v>PT_DOOR STH2 1225x823x285</x:v>
      </x:c>
      <x:c r="D8" t="str">
        <x:v>00</x:v>
      </x:c>
      <x:c r="E8" t="str">
        <x:v>Released</x:v>
      </x:c>
      <x:c r="F8" t="str">
        <x:v>SolidWorks</x:v>
      </x:c>
      <x:c r="G8" t="inlineStr">
        <x:f xml:space="preserve">HYPERLINK("./Contents/10000703900_Rev_00.dxf", "10000703900_Rev_00.dxf")</x:f>
        <x:v>10000703900_Rev_00.dxf</x:v>
      </x:c>
    </x:row>
    <x:row r="9">
      <x:c r="A9" t="str">
        <x:v>Mechanical/Drawing</x:v>
      </x:c>
      <x:c r="B9" t="str">
        <x:v>10000703900</x:v>
      </x:c>
      <x:c r="C9" t="str">
        <x:v>PT_DOOR STH2 1225x823x285</x:v>
      </x:c>
      <x:c r="D9" t="str">
        <x:v>00</x:v>
      </x:c>
      <x:c r="E9" t="str">
        <x:v>Released</x:v>
      </x:c>
      <x:c r="F9" t="str">
        <x:v>SolidWorks</x:v>
      </x:c>
      <x:c r="G9" t="inlineStr">
        <x:f xml:space="preserve">HYPERLINK("./Contents/10000703900_Rev_00_Mechanical!Drawing.pdf", "10000703900_Rev_00_Mechanical!Drawing.pdf")</x:f>
        <x:v>10000703900_Rev_00_Mechanical!Drawing.pdf</x:v>
      </x:c>
    </x:row>
    <x:row r="10">
      <x:c r="A10" t="str">
        <x:v>Mechanical/Part</x:v>
      </x:c>
      <x:c r="B10" t="str">
        <x:v>10000705057</x:v>
      </x:c>
      <x:c r="C10" t="str">
        <x:v>PT_SPACER D20 IDM6 T5 L35</x:v>
      </x:c>
      <x:c r="D10" t="str">
        <x:v>00</x:v>
      </x:c>
      <x:c r="E10" t="str">
        <x:v>Released</x:v>
      </x:c>
      <x:c r="F10" t="str">
        <x:v>SolidWorks</x:v>
      </x:c>
      <x:c r="G10" t="inlineStr">
        <x:f xml:space="preserve">HYPERLINK("./Contents/10000705057_Rev_00.step", "10000705057_Rev_00.step")</x:f>
        <x:v>10000705057_Rev_00.step</x:v>
      </x:c>
    </x:row>
    <x:row r="11">
      <x:c r="A11" t="str">
        <x:v>Mechanical/Drawing</x:v>
      </x:c>
      <x:c r="B11" t="str">
        <x:v>10000705057</x:v>
      </x:c>
      <x:c r="C11" t="str">
        <x:v>PT_SPACER D20 IDM6 T5 L35</x:v>
      </x:c>
      <x:c r="D11" t="str">
        <x:v>00</x:v>
      </x:c>
      <x:c r="E11" t="str">
        <x:v>Released</x:v>
      </x:c>
      <x:c r="F11" t="str">
        <x:v>SolidWorks</x:v>
      </x:c>
      <x:c r="G11" t="inlineStr">
        <x:f xml:space="preserve">HYPERLINK("./Contents/10000705057_Rev_00_Mechanical!Drawing.pdf", "10000705057_Rev_00_Mechanical!Drawing.pdf")</x:f>
        <x:v>10000705057_Rev_00_Mechanical!Drawing.pdf</x:v>
      </x:c>
    </x:row>
    <x:row r="12">
      <x:c r="A12" t="str">
        <x:v>Mechanical/Part</x:v>
      </x:c>
      <x:c r="B12" t="str">
        <x:v>10000707475</x:v>
      </x:c>
      <x:c r="C12" t="str">
        <x:v>PT_TUBE 40x40x2 L747.5</x:v>
      </x:c>
      <x:c r="D12" t="str">
        <x:v>00</x:v>
      </x:c>
      <x:c r="E12" t="str">
        <x:v>Released</x:v>
      </x:c>
      <x:c r="F12" t="str">
        <x:v>SolidWorks</x:v>
      </x:c>
      <x:c r="G12" t="inlineStr">
        <x:f xml:space="preserve">HYPERLINK("./Contents/10000707475_Rev_00.step", "10000707475_Rev_00.step")</x:f>
        <x:v>10000707475_Rev_00.step</x:v>
      </x:c>
    </x:row>
    <x:row r="13">
      <x:c r="A13" t="str">
        <x:v>Mechanical/Drawing</x:v>
      </x:c>
      <x:c r="B13" t="str">
        <x:v>10000707475</x:v>
      </x:c>
      <x:c r="C13" t="str">
        <x:v>PT_TUBE 40x40x2 L747.5</x:v>
      </x:c>
      <x:c r="D13" t="str">
        <x:v>00</x:v>
      </x:c>
      <x:c r="E13" t="str">
        <x:v>Released</x:v>
      </x:c>
      <x:c r="F13" t="str">
        <x:v>SolidWorks</x:v>
      </x:c>
      <x:c r="G13" t="inlineStr">
        <x:f xml:space="preserve">HYPERLINK("./Contents/10000707475_Rev_00_Mechanical!Drawing.pdf", "10000707475_Rev_00_Mechanical!Drawing.pdf")</x:f>
        <x:v>10000707475_Rev_00_Mechanical!Drawing.pdf</x:v>
      </x:c>
    </x:row>
    <x:row r="14">
      <x:c r="A14" t="str">
        <x:v>Mechanical/Part</x:v>
      </x:c>
      <x:c r="B14" t="str">
        <x:v>10000890089</x:v>
      </x:c>
      <x:c r="C14" t="str">
        <x:v>MP_BAR 40x20h11 L1200</x:v>
      </x:c>
      <x:c r="D14" t="str">
        <x:v>00</x:v>
      </x:c>
      <x:c r="E14" t="str">
        <x:v>Released</x:v>
      </x:c>
      <x:c r="F14" t="str">
        <x:v>SolidWorks</x:v>
      </x:c>
      <x:c r="G14" t="inlineStr">
        <x:f xml:space="preserve">HYPERLINK("./Contents/10000890089_Rev_00.step", "10000890089_Rev_00.step")</x:f>
        <x:v>10000890089_Rev_00.step</x:v>
      </x:c>
    </x:row>
    <x:row r="15">
      <x:c r="A15" t="str">
        <x:v>Mechanical/Drawing</x:v>
      </x:c>
      <x:c r="B15" t="str">
        <x:v>10000890089</x:v>
      </x:c>
      <x:c r="C15" t="str">
        <x:v>MP_BAR 40x20h11 L1200</x:v>
      </x:c>
      <x:c r="D15" t="str">
        <x:v>00</x:v>
      </x:c>
      <x:c r="E15" t="str">
        <x:v>Released</x:v>
      </x:c>
      <x:c r="F15" t="str">
        <x:v>SolidWorks</x:v>
      </x:c>
      <x:c r="G15" t="inlineStr">
        <x:f xml:space="preserve">HYPERLINK("./Contents/10000890089_Rev_00_Mechanical!Drawing.pdf", "10000890089_Rev_00_Mechanical!Drawing.pdf")</x:f>
        <x:v>10000890089_Rev_00_Mechanical!Drawing.pdf</x:v>
      </x:c>
    </x:row>
    <x:row r="16">
      <x:c r="A16" t="str">
        <x:v>Mechanical/Part</x:v>
      </x:c>
      <x:c r="B16" t="str">
        <x:v>10000890096</x:v>
      </x:c>
      <x:c r="C16" t="str">
        <x:v>MP_PLATE STH5 310x40</x:v>
      </x:c>
      <x:c r="D16" t="str">
        <x:v>00</x:v>
      </x:c>
      <x:c r="E16" t="str">
        <x:v>Released</x:v>
      </x:c>
      <x:c r="F16" t="str">
        <x:v>SolidWorks</x:v>
      </x:c>
      <x:c r="G16" t="inlineStr">
        <x:f xml:space="preserve">HYPERLINK("./Contents/10000890096_Rev_00.step", "10000890096_Rev_00.step")</x:f>
        <x:v>10000890096_Rev_00.step</x:v>
      </x:c>
    </x:row>
    <x:row r="17">
      <x:c r="A17" t="str">
        <x:v>Mechanical/Drawing</x:v>
      </x:c>
      <x:c r="B17" t="str">
        <x:v>10000890096</x:v>
      </x:c>
      <x:c r="C17" t="str">
        <x:v>MP_PLATE STH5 310x40</x:v>
      </x:c>
      <x:c r="D17" t="str">
        <x:v>00</x:v>
      </x:c>
      <x:c r="E17" t="str">
        <x:v>Released</x:v>
      </x:c>
      <x:c r="F17" t="str">
        <x:v>SolidWorks</x:v>
      </x:c>
      <x:c r="G17" t="inlineStr">
        <x:f xml:space="preserve">HYPERLINK("./Contents/10000890096_Rev_00.dxf", "10000890096_Rev_00.dxf")</x:f>
        <x:v>10000890096_Rev_00.dxf</x:v>
      </x:c>
    </x:row>
    <x:row r="18">
      <x:c r="A18" t="str">
        <x:v>Mechanical/Drawing</x:v>
      </x:c>
      <x:c r="B18" t="str">
        <x:v>10000890096</x:v>
      </x:c>
      <x:c r="C18" t="str">
        <x:v>MP_PLATE STH5 310x40</x:v>
      </x:c>
      <x:c r="D18" t="str">
        <x:v>00</x:v>
      </x:c>
      <x:c r="E18" t="str">
        <x:v>Released</x:v>
      </x:c>
      <x:c r="F18" t="str">
        <x:v>SolidWorks</x:v>
      </x:c>
      <x:c r="G18" t="inlineStr">
        <x:f xml:space="preserve">HYPERLINK("./Contents/10000890096_Rev_00_Mechanical!Drawing.pdf", "10000890096_Rev_00_Mechanical!Drawing.pdf")</x:f>
        <x:v>10000890096_Rev_00_Mechanical!Drawing.pdf</x:v>
      </x:c>
    </x:row>
    <x:row r="19">
      <x:c r="A19" t="str">
        <x:v>Mechanical/Part</x:v>
      </x:c>
      <x:c r="B19" t="str">
        <x:v>10001057925</x:v>
      </x:c>
      <x:c r="C19" t="str">
        <x:v>PT_CABINET STH5</x:v>
      </x:c>
      <x:c r="D19" t="str">
        <x:v>00</x:v>
      </x:c>
      <x:c r="E19" t="str">
        <x:v>Released</x:v>
      </x:c>
      <x:c r="F19" t="str">
        <x:v>SolidWorks</x:v>
      </x:c>
      <x:c r="G19" t="inlineStr">
        <x:f xml:space="preserve">HYPERLINK("./Contents/10001057925_Rev_00.step", "10001057925_Rev_00.step")</x:f>
        <x:v>10001057925_Rev_00.step</x:v>
      </x:c>
    </x:row>
    <x:row r="20">
      <x:c r="A20" t="str">
        <x:v>Mechanical/Drawing</x:v>
      </x:c>
      <x:c r="B20" t="str">
        <x:v>10001057925</x:v>
      </x:c>
      <x:c r="C20" t="str">
        <x:v>PT_CABINET STH5</x:v>
      </x:c>
      <x:c r="D20" t="str">
        <x:v>00</x:v>
      </x:c>
      <x:c r="E20" t="str">
        <x:v>Released</x:v>
      </x:c>
      <x:c r="F20" t="str">
        <x:v>SolidWorks</x:v>
      </x:c>
      <x:c r="G20" t="inlineStr">
        <x:f xml:space="preserve">HYPERLINK("./Contents/10001057925_Rev_00.dxf", "10001057925_Rev_00.dxf")</x:f>
        <x:v>10001057925_Rev_00.dxf</x:v>
      </x:c>
    </x:row>
    <x:row r="21">
      <x:c r="A21" t="str">
        <x:v>Mechanical/Drawing</x:v>
      </x:c>
      <x:c r="B21" t="str">
        <x:v>10001057925</x:v>
      </x:c>
      <x:c r="C21" t="str">
        <x:v>PT_CABINET STH5</x:v>
      </x:c>
      <x:c r="D21" t="str">
        <x:v>00</x:v>
      </x:c>
      <x:c r="E21" t="str">
        <x:v>Released</x:v>
      </x:c>
      <x:c r="F21" t="str">
        <x:v>SolidWorks</x:v>
      </x:c>
      <x:c r="G21" t="inlineStr">
        <x:f xml:space="preserve">HYPERLINK("./Contents/10001057925_Rev_00 (002).dxf", "10001057925_Rev_00 (002).dxf")</x:f>
        <x:v>10001057925_Rev_00 (002).dxf</x:v>
      </x:c>
    </x:row>
    <x:row r="22">
      <x:c r="A22" t="str">
        <x:v>Mechanical/Drawing</x:v>
      </x:c>
      <x:c r="B22" t="str">
        <x:v>10001057925</x:v>
      </x:c>
      <x:c r="C22" t="str">
        <x:v>PT_CABINET STH5</x:v>
      </x:c>
      <x:c r="D22" t="str">
        <x:v>00</x:v>
      </x:c>
      <x:c r="E22" t="str">
        <x:v>Released</x:v>
      </x:c>
      <x:c r="F22" t="str">
        <x:v>SolidWorks</x:v>
      </x:c>
      <x:c r="G22" t="inlineStr">
        <x:f xml:space="preserve">HYPERLINK("./Contents/10001057925_Rev_00_Mechanical!Drawing.pdf", "10001057925_Rev_00_Mechanical!Drawing.pdf")</x:f>
        <x:v>10001057925_Rev_00_Mechanical!Drawing.pdf</x:v>
      </x:c>
    </x:row>
    <x:row r="23">
      <x:c r="A23" t="str">
        <x:v>Mechanical/Part</x:v>
      </x:c>
      <x:c r="B23" t="str">
        <x:v>10001059687</x:v>
      </x:c>
      <x:c r="C23" t="str">
        <x:v>PT_CABINET STH5</x:v>
      </x:c>
      <x:c r="D23" t="str">
        <x:v>00</x:v>
      </x:c>
      <x:c r="E23" t="str">
        <x:v>Released</x:v>
      </x:c>
      <x:c r="F23" t="str">
        <x:v>SolidWorks</x:v>
      </x:c>
      <x:c r="G23" t="inlineStr">
        <x:f xml:space="preserve">HYPERLINK("./Contents/10001059687_Rev_00.step", "10001059687_Rev_00.step")</x:f>
        <x:v>10001059687_Rev_00.step</x:v>
      </x:c>
    </x:row>
    <x:row r="24">
      <x:c r="A24" t="str">
        <x:v>Mechanical/Drawing</x:v>
      </x:c>
      <x:c r="B24" t="str">
        <x:v>10001059687</x:v>
      </x:c>
      <x:c r="C24" t="str">
        <x:v>PT_CABINET STH5</x:v>
      </x:c>
      <x:c r="D24" t="str">
        <x:v>00</x:v>
      </x:c>
      <x:c r="E24" t="str">
        <x:v>Released</x:v>
      </x:c>
      <x:c r="F24" t="str">
        <x:v>SolidWorks</x:v>
      </x:c>
      <x:c r="G24" t="inlineStr">
        <x:f xml:space="preserve">HYPERLINK("./Contents/10001059687_Rev_00.dxf", "10001059687_Rev_00.dxf")</x:f>
        <x:v>10001059687_Rev_00.dxf</x:v>
      </x:c>
    </x:row>
    <x:row r="25">
      <x:c r="A25" t="str">
        <x:v>Mechanical/Drawing</x:v>
      </x:c>
      <x:c r="B25" t="str">
        <x:v>10001059687</x:v>
      </x:c>
      <x:c r="C25" t="str">
        <x:v>PT_CABINET STH5</x:v>
      </x:c>
      <x:c r="D25" t="str">
        <x:v>00</x:v>
      </x:c>
      <x:c r="E25" t="str">
        <x:v>Released</x:v>
      </x:c>
      <x:c r="F25" t="str">
        <x:v>SolidWorks</x:v>
      </x:c>
      <x:c r="G25" t="inlineStr">
        <x:f xml:space="preserve">HYPERLINK("./Contents/10001059687_Rev_00_Mechanical!Drawing.pdf", "10001059687_Rev_00_Mechanical!Drawing.pdf")</x:f>
        <x:v>10001059687_Rev_00_Mechanical!Drawing.pdf</x:v>
      </x:c>
    </x:row>
    <x:row r="26">
      <x:c r="A26" t="str">
        <x:v>Mechanical/Part</x:v>
      </x:c>
      <x:c r="B26" t="str">
        <x:v>10001059694</x:v>
      </x:c>
      <x:c r="C26" t="str">
        <x:v>PT_CABINET STH5</x:v>
      </x:c>
      <x:c r="D26" t="str">
        <x:v>00</x:v>
      </x:c>
      <x:c r="E26" t="str">
        <x:v>Released</x:v>
      </x:c>
      <x:c r="F26" t="str">
        <x:v>SolidWorks</x:v>
      </x:c>
      <x:c r="G26" t="inlineStr">
        <x:f xml:space="preserve">HYPERLINK("./Contents/10001059694_Rev_00.step", "10001059694_Rev_00.step")</x:f>
        <x:v>10001059694_Rev_00.step</x:v>
      </x:c>
    </x:row>
    <x:row r="27">
      <x:c r="A27" t="str">
        <x:v>Mechanical/Drawing</x:v>
      </x:c>
      <x:c r="B27" t="str">
        <x:v>10001059694</x:v>
      </x:c>
      <x:c r="C27" t="str">
        <x:v>PT_CABINET STH5</x:v>
      </x:c>
      <x:c r="D27" t="str">
        <x:v>00</x:v>
      </x:c>
      <x:c r="E27" t="str">
        <x:v>Released</x:v>
      </x:c>
      <x:c r="F27" t="str">
        <x:v>SolidWorks</x:v>
      </x:c>
      <x:c r="G27" t="inlineStr">
        <x:f xml:space="preserve">HYPERLINK("./Contents/10001059694_Rev_00.dxf", "10001059694_Rev_00.dxf")</x:f>
        <x:v>10001059694_Rev_00.dxf</x:v>
      </x:c>
    </x:row>
    <x:row r="28">
      <x:c r="A28" t="str">
        <x:v>Mechanical/Drawing</x:v>
      </x:c>
      <x:c r="B28" t="str">
        <x:v>10001059694</x:v>
      </x:c>
      <x:c r="C28" t="str">
        <x:v>PT_CABINET STH5</x:v>
      </x:c>
      <x:c r="D28" t="str">
        <x:v>00</x:v>
      </x:c>
      <x:c r="E28" t="str">
        <x:v>Released</x:v>
      </x:c>
      <x:c r="F28" t="str">
        <x:v>SolidWorks</x:v>
      </x:c>
      <x:c r="G28" t="inlineStr">
        <x:f xml:space="preserve">HYPERLINK("./Contents/10001059694_Rev_00_Mechanical!Drawing.pdf", "10001059694_Rev_00_Mechanical!Drawing.pdf")</x:f>
        <x:v>10001059694_Rev_00_Mechanical!Drawing.pdf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tr">
        <x:v>BOM Level</x:v>
      </x:c>
      <x:c r="B1" t="str">
        <x:v>Parent Part Number</x:v>
      </x:c>
      <x:c r="C1" t="str">
        <x:v>Parent Part Name</x:v>
      </x:c>
      <x:c r="D1" t="str">
        <x:v>Parent Part Revision</x:v>
      </x:c>
      <x:c r="E1" t="str">
        <x:v>Sequence</x:v>
      </x:c>
      <x:c r="F1" t="str">
        <x:v>Child Part Number</x:v>
      </x:c>
      <x:c r="G1" t="str">
        <x:v>Child Part Name</x:v>
      </x:c>
      <x:c r="H1" t="str">
        <x:v>Child Part Revision</x:v>
      </x:c>
      <x:c r="I1" t="str">
        <x:v>Quantity</x:v>
      </x:c>
      <x:c r="J1" t="str">
        <x:v>Unit</x:v>
      </x:c>
      <x:c r="K1" t="str">
        <x:v>Number Of Variable Size</x:v>
      </x:c>
      <x:c r="L1" t="str">
        <x:v>Variable Size</x:v>
      </x:c>
      <x:c r="M1" t="str">
        <x:v>Variable Size Unit</x:v>
      </x:c>
      <x:c r="N1" t="str">
        <x:v>Reference Designator</x:v>
      </x:c>
    </x:row>
    <x:row r="2">
      <x:c r="A2" s="1" t="n">
        <x:v>1</x:v>
      </x:c>
      <x:c r="B2" t="str">
        <x:v>10001057924</x:v>
      </x:c>
      <x:c r="C2" t="str">
        <x:v>00</x:v>
      </x:c>
      <x:c r="D2" t="str">
        <x:v>PA_CABINET PRESS UNIT RIGHT</x:v>
      </x:c>
      <x:c r="E2" s="1" t="n">
        <x:v>10</x:v>
      </x:c>
      <x:c r="F2" t="str">
        <x:v>C1050070</x:v>
      </x:c>
      <x:c r="G2" t="str">
        <x:v>PP_WELDING HINGE|ERI.80 SS</x:v>
      </x:c>
      <x:c r="H2" t="str">
        <x:v>00</x:v>
      </x:c>
      <x:c r="I2" s="1" t="n">
        <x:v>2</x:v>
      </x:c>
      <x:c r="J2" t="str">
        <x:v>EA</x:v>
      </x:c>
      <x:c r="K2" t="n">
        <x:v/>
      </x:c>
      <x:c r="L2" t="n">
        <x:v/>
      </x:c>
      <x:c r="M2" t="str">
        <x:v/>
      </x:c>
      <x:c r="N2" t="str">
        <x:v/>
      </x:c>
    </x:row>
    <x:row r="3">
      <x:c r="A3" s="1" t="n">
        <x:v>1</x:v>
      </x:c>
      <x:c r="B3" t="str">
        <x:v>10001057924</x:v>
      </x:c>
      <x:c r="C3" t="str">
        <x:v>00</x:v>
      </x:c>
      <x:c r="D3" t="str">
        <x:v>PA_CABINET PRESS UNIT RIGHT</x:v>
      </x:c>
      <x:c r="E3" s="1" t="n">
        <x:v>20</x:v>
      </x:c>
      <x:c r="F3" t="str">
        <x:v>10000703900</x:v>
      </x:c>
      <x:c r="G3" t="str">
        <x:v>PT_DOOR STH2 1225x823x285</x:v>
      </x:c>
      <x:c r="H3" t="str">
        <x:v>00</x:v>
      </x:c>
      <x:c r="I3" s="1" t="n">
        <x:v>1</x:v>
      </x:c>
      <x:c r="J3" t="str">
        <x:v>EA</x:v>
      </x:c>
      <x:c r="K3" t="n">
        <x:v/>
      </x:c>
      <x:c r="L3" t="n">
        <x:v/>
      </x:c>
      <x:c r="M3" t="str">
        <x:v/>
      </x:c>
      <x:c r="N3" t="str">
        <x:v/>
      </x:c>
    </x:row>
    <x:row r="4">
      <x:c r="A4" s="1" t="n">
        <x:v>1</x:v>
      </x:c>
      <x:c r="B4" t="str">
        <x:v>10001057924</x:v>
      </x:c>
      <x:c r="C4" t="str">
        <x:v>00</x:v>
      </x:c>
      <x:c r="D4" t="str">
        <x:v>PA_CABINET PRESS UNIT RIGHT</x:v>
      </x:c>
      <x:c r="E4" s="1" t="n">
        <x:v>30</x:v>
      </x:c>
      <x:c r="F4" t="str">
        <x:v>10000705057</x:v>
      </x:c>
      <x:c r="G4" t="str">
        <x:v>PT_SPACER D20 IDM6 T5 L35</x:v>
      </x:c>
      <x:c r="H4" t="str">
        <x:v>00</x:v>
      </x:c>
      <x:c r="I4" s="1" t="n">
        <x:v>3</x:v>
      </x:c>
      <x:c r="J4" t="str">
        <x:v>EA</x:v>
      </x:c>
      <x:c r="K4" t="n">
        <x:v/>
      </x:c>
      <x:c r="L4" t="n">
        <x:v/>
      </x:c>
      <x:c r="M4" t="str">
        <x:v/>
      </x:c>
      <x:c r="N4" t="str">
        <x:v/>
      </x:c>
    </x:row>
    <x:row r="5">
      <x:c r="A5" s="1" t="n">
        <x:v>1</x:v>
      </x:c>
      <x:c r="B5" t="str">
        <x:v>10001057924</x:v>
      </x:c>
      <x:c r="C5" t="str">
        <x:v>00</x:v>
      </x:c>
      <x:c r="D5" t="str">
        <x:v>PA_CABINET PRESS UNIT RIGHT</x:v>
      </x:c>
      <x:c r="E5" s="1" t="n">
        <x:v>40</x:v>
      </x:c>
      <x:c r="F5" t="str">
        <x:v>10000707475</x:v>
      </x:c>
      <x:c r="G5" t="str">
        <x:v>PT_TUBE 40x40x2 L747.5</x:v>
      </x:c>
      <x:c r="H5" t="str">
        <x:v>00</x:v>
      </x:c>
      <x:c r="I5" s="1" t="n">
        <x:v>1</x:v>
      </x:c>
      <x:c r="J5" t="str">
        <x:v>EA</x:v>
      </x:c>
      <x:c r="K5" t="n">
        <x:v/>
      </x:c>
      <x:c r="L5" t="n">
        <x:v/>
      </x:c>
      <x:c r="M5" t="str">
        <x:v/>
      </x:c>
      <x:c r="N5" t="str">
        <x:v/>
      </x:c>
    </x:row>
    <x:row r="6">
      <x:c r="A6" s="1" t="n">
        <x:v>1</x:v>
      </x:c>
      <x:c r="B6" t="str">
        <x:v>10001057924</x:v>
      </x:c>
      <x:c r="C6" t="str">
        <x:v>00</x:v>
      </x:c>
      <x:c r="D6" t="str">
        <x:v>PA_CABINET PRESS UNIT RIGHT</x:v>
      </x:c>
      <x:c r="E6" s="1" t="n">
        <x:v>50</x:v>
      </x:c>
      <x:c r="F6" t="str">
        <x:v>10000890089</x:v>
      </x:c>
      <x:c r="G6" t="str">
        <x:v>MP_BAR 40x20h11 L1200</x:v>
      </x:c>
      <x:c r="H6" t="str">
        <x:v>00</x:v>
      </x:c>
      <x:c r="I6" s="1" t="n">
        <x:v>1</x:v>
      </x:c>
      <x:c r="J6" t="str">
        <x:v>EA</x:v>
      </x:c>
      <x:c r="K6" t="n">
        <x:v/>
      </x:c>
      <x:c r="L6" t="n">
        <x:v/>
      </x:c>
      <x:c r="M6" t="str">
        <x:v/>
      </x:c>
      <x:c r="N6" t="str">
        <x:v/>
      </x:c>
    </x:row>
    <x:row r="7">
      <x:c r="A7" s="1" t="n">
        <x:v>1</x:v>
      </x:c>
      <x:c r="B7" t="str">
        <x:v>10001057924</x:v>
      </x:c>
      <x:c r="C7" t="str">
        <x:v>00</x:v>
      </x:c>
      <x:c r="D7" t="str">
        <x:v>PA_CABINET PRESS UNIT RIGHT</x:v>
      </x:c>
      <x:c r="E7" s="1" t="n">
        <x:v>60</x:v>
      </x:c>
      <x:c r="F7" t="str">
        <x:v>10000890096</x:v>
      </x:c>
      <x:c r="G7" t="str">
        <x:v>MP_PLATE STH5 310x40</x:v>
      </x:c>
      <x:c r="H7" t="str">
        <x:v>00</x:v>
      </x:c>
      <x:c r="I7" s="1" t="n">
        <x:v>1</x:v>
      </x:c>
      <x:c r="J7" t="str">
        <x:v>EA</x:v>
      </x:c>
      <x:c r="K7" t="n">
        <x:v/>
      </x:c>
      <x:c r="L7" t="n">
        <x:v/>
      </x:c>
      <x:c r="M7" t="str">
        <x:v/>
      </x:c>
      <x:c r="N7" t="str">
        <x:v/>
      </x:c>
    </x:row>
    <x:row r="8">
      <x:c r="A8" s="1" t="n">
        <x:v>1</x:v>
      </x:c>
      <x:c r="B8" t="str">
        <x:v>10001057924</x:v>
      </x:c>
      <x:c r="C8" t="str">
        <x:v>00</x:v>
      </x:c>
      <x:c r="D8" t="str">
        <x:v>PA_CABINET PRESS UNIT RIGHT</x:v>
      </x:c>
      <x:c r="E8" s="1" t="n">
        <x:v>70</x:v>
      </x:c>
      <x:c r="F8" t="str">
        <x:v>10001057925</x:v>
      </x:c>
      <x:c r="G8" t="str">
        <x:v>PT_CABINET STH5</x:v>
      </x:c>
      <x:c r="H8" t="str">
        <x:v>00</x:v>
      </x:c>
      <x:c r="I8" s="1" t="n">
        <x:v>1</x:v>
      </x:c>
      <x:c r="J8" t="str">
        <x:v>EA</x:v>
      </x:c>
      <x:c r="K8" t="n">
        <x:v/>
      </x:c>
      <x:c r="L8" t="n">
        <x:v/>
      </x:c>
      <x:c r="M8" t="str">
        <x:v/>
      </x:c>
      <x:c r="N8" t="str">
        <x:v/>
      </x:c>
    </x:row>
    <x:row r="9">
      <x:c r="A9" s="1" t="n">
        <x:v>1</x:v>
      </x:c>
      <x:c r="B9" t="str">
        <x:v>10001057924</x:v>
      </x:c>
      <x:c r="C9" t="str">
        <x:v>00</x:v>
      </x:c>
      <x:c r="D9" t="str">
        <x:v>PA_CABINET PRESS UNIT RIGHT</x:v>
      </x:c>
      <x:c r="E9" s="1" t="n">
        <x:v>80</x:v>
      </x:c>
      <x:c r="F9" t="str">
        <x:v>10001059687</x:v>
      </x:c>
      <x:c r="G9" t="str">
        <x:v>PT_CABINET STH5</x:v>
      </x:c>
      <x:c r="H9" t="str">
        <x:v>00</x:v>
      </x:c>
      <x:c r="I9" s="1" t="n">
        <x:v>1</x:v>
      </x:c>
      <x:c r="J9" t="str">
        <x:v>EA</x:v>
      </x:c>
      <x:c r="K9" t="n">
        <x:v/>
      </x:c>
      <x:c r="L9" t="n">
        <x:v/>
      </x:c>
      <x:c r="M9" t="str">
        <x:v/>
      </x:c>
      <x:c r="N9" t="str">
        <x:v/>
      </x:c>
    </x:row>
    <x:row r="10">
      <x:c r="A10" s="1" t="n">
        <x:v>1</x:v>
      </x:c>
      <x:c r="B10" t="str">
        <x:v>10001057924</x:v>
      </x:c>
      <x:c r="C10" t="str">
        <x:v>00</x:v>
      </x:c>
      <x:c r="D10" t="str">
        <x:v>PA_CABINET PRESS UNIT RIGHT</x:v>
      </x:c>
      <x:c r="E10" s="1" t="n">
        <x:v>90</x:v>
      </x:c>
      <x:c r="F10" t="str">
        <x:v>10001059694</x:v>
      </x:c>
      <x:c r="G10" t="str">
        <x:v>PT_CABINET STH5</x:v>
      </x:c>
      <x:c r="H10" t="str">
        <x:v>00</x:v>
      </x:c>
      <x:c r="I10" s="1" t="n">
        <x:v>1</x:v>
      </x:c>
      <x:c r="J10" t="str">
        <x:v>EA</x:v>
      </x:c>
      <x:c r="K10" t="n">
        <x:v/>
      </x:c>
      <x:c r="L10" t="n">
        <x:v/>
      </x:c>
      <x:c r="M10" t="str">
        <x:v/>
      </x:c>
      <x:c r="N10" t="str">
        <x:v/>
      </x:c>
    </x:row>
  </x:sheetData>
</x:worksheet>
</file>

<file path=xl/worksheets/sheet5.xml><?xml version="1.0" encoding="utf-8"?>
<x:worksheet xmlns:x="http://schemas.openxmlformats.org/spreadsheetml/2006/main">
  <x:sheetData>
    <x:row r="1">
      <x:c r="A1" t="str">
        <x:v>Parent Part Number</x:v>
      </x:c>
      <x:c r="B1" t="str">
        <x:v>Part Revision</x:v>
      </x:c>
      <x:c r="C1" t="str">
        <x:v>Document Number</x:v>
      </x:c>
      <x:c r="D1" t="str">
        <x:v>Document Type</x:v>
      </x:c>
      <x:c r="E1" t="str">
        <x:v>Document Revision</x:v>
      </x:c>
    </x:row>
    <x:row r="2">
      <x:c r="A2" t="str">
        <x:v>10001057924</x:v>
      </x:c>
      <x:c r="B2" t="str">
        <x:v>00</x:v>
      </x:c>
      <x:c r="C2" t="str">
        <x:v>10001057924</x:v>
      </x:c>
      <x:c r="D2" t="str">
        <x:v>Mechanical/Assembly</x:v>
      </x:c>
      <x:c r="E2" t="str">
        <x:v>00</x:v>
      </x:c>
    </x:row>
    <x:row r="3">
      <x:c r="A3" t="str">
        <x:v>10001057924</x:v>
      </x:c>
      <x:c r="B3" t="str">
        <x:v>00</x:v>
      </x:c>
      <x:c r="C3" t="str">
        <x:v>10001057924</x:v>
      </x:c>
      <x:c r="D3" t="str">
        <x:v>Mechanical/Drawing</x:v>
      </x:c>
      <x:c r="E3" t="str">
        <x:v>00</x:v>
      </x:c>
    </x:row>
    <x:row r="4">
      <x:c r="A4" t="str">
        <x:v>C1050070</x:v>
      </x:c>
      <x:c r="B4" t="str">
        <x:v>00</x:v>
      </x:c>
      <x:c r="C4" t="str">
        <x:v>C1050070</x:v>
      </x:c>
      <x:c r="D4" t="str">
        <x:v>Mechanical/Assembly</x:v>
      </x:c>
      <x:c r="E4" t="str">
        <x:v>00</x:v>
      </x:c>
    </x:row>
    <x:row r="5">
      <x:c r="A5" t="str">
        <x:v>10000703900</x:v>
      </x:c>
      <x:c r="B5" t="str">
        <x:v>00</x:v>
      </x:c>
      <x:c r="C5" t="str">
        <x:v>10000703900</x:v>
      </x:c>
      <x:c r="D5" t="str">
        <x:v>Mechanical/Part</x:v>
      </x:c>
      <x:c r="E5" t="str">
        <x:v>00</x:v>
      </x:c>
    </x:row>
    <x:row r="6">
      <x:c r="A6" t="str">
        <x:v>10000703900</x:v>
      </x:c>
      <x:c r="B6" t="str">
        <x:v>00</x:v>
      </x:c>
      <x:c r="C6" t="str">
        <x:v>10000703900</x:v>
      </x:c>
      <x:c r="D6" t="str">
        <x:v>Mechanical/Drawing</x:v>
      </x:c>
      <x:c r="E6" t="str">
        <x:v>00</x:v>
      </x:c>
    </x:row>
    <x:row r="7">
      <x:c r="A7" t="str">
        <x:v>10000705057</x:v>
      </x:c>
      <x:c r="B7" t="str">
        <x:v>00</x:v>
      </x:c>
      <x:c r="C7" t="str">
        <x:v>10000705057</x:v>
      </x:c>
      <x:c r="D7" t="str">
        <x:v>Mechanical/Part</x:v>
      </x:c>
      <x:c r="E7" t="str">
        <x:v>00</x:v>
      </x:c>
    </x:row>
    <x:row r="8">
      <x:c r="A8" t="str">
        <x:v>10000705057</x:v>
      </x:c>
      <x:c r="B8" t="str">
        <x:v>00</x:v>
      </x:c>
      <x:c r="C8" t="str">
        <x:v>10000705057</x:v>
      </x:c>
      <x:c r="D8" t="str">
        <x:v>Mechanical/Drawing</x:v>
      </x:c>
      <x:c r="E8" t="str">
        <x:v>00</x:v>
      </x:c>
    </x:row>
    <x:row r="9">
      <x:c r="A9" t="str">
        <x:v>10000707475</x:v>
      </x:c>
      <x:c r="B9" t="str">
        <x:v>00</x:v>
      </x:c>
      <x:c r="C9" t="str">
        <x:v>10000707475</x:v>
      </x:c>
      <x:c r="D9" t="str">
        <x:v>Mechanical/Part</x:v>
      </x:c>
      <x:c r="E9" t="str">
        <x:v>00</x:v>
      </x:c>
    </x:row>
    <x:row r="10">
      <x:c r="A10" t="str">
        <x:v>10000707475</x:v>
      </x:c>
      <x:c r="B10" t="str">
        <x:v>00</x:v>
      </x:c>
      <x:c r="C10" t="str">
        <x:v>10000707475</x:v>
      </x:c>
      <x:c r="D10" t="str">
        <x:v>Mechanical/Drawing</x:v>
      </x:c>
      <x:c r="E10" t="str">
        <x:v>00</x:v>
      </x:c>
    </x:row>
    <x:row r="11">
      <x:c r="A11" t="str">
        <x:v>10000890089</x:v>
      </x:c>
      <x:c r="B11" t="str">
        <x:v>00</x:v>
      </x:c>
      <x:c r="C11" t="str">
        <x:v>10000890089</x:v>
      </x:c>
      <x:c r="D11" t="str">
        <x:v>Mechanical/Part</x:v>
      </x:c>
      <x:c r="E11" t="str">
        <x:v>00</x:v>
      </x:c>
    </x:row>
    <x:row r="12">
      <x:c r="A12" t="str">
        <x:v>10000890089</x:v>
      </x:c>
      <x:c r="B12" t="str">
        <x:v>00</x:v>
      </x:c>
      <x:c r="C12" t="str">
        <x:v>10000890089</x:v>
      </x:c>
      <x:c r="D12" t="str">
        <x:v>Mechanical/Drawing</x:v>
      </x:c>
      <x:c r="E12" t="str">
        <x:v>00</x:v>
      </x:c>
    </x:row>
    <x:row r="13">
      <x:c r="A13" t="str">
        <x:v>10000890096</x:v>
      </x:c>
      <x:c r="B13" t="str">
        <x:v>00</x:v>
      </x:c>
      <x:c r="C13" t="str">
        <x:v>10000890096</x:v>
      </x:c>
      <x:c r="D13" t="str">
        <x:v>Mechanical/Part</x:v>
      </x:c>
      <x:c r="E13" t="str">
        <x:v>00</x:v>
      </x:c>
    </x:row>
    <x:row r="14">
      <x:c r="A14" t="str">
        <x:v>10000890096</x:v>
      </x:c>
      <x:c r="B14" t="str">
        <x:v>00</x:v>
      </x:c>
      <x:c r="C14" t="str">
        <x:v>10000890096</x:v>
      </x:c>
      <x:c r="D14" t="str">
        <x:v>Mechanical/Drawing</x:v>
      </x:c>
      <x:c r="E14" t="str">
        <x:v>00</x:v>
      </x:c>
    </x:row>
    <x:row r="15">
      <x:c r="A15" t="str">
        <x:v>10001057925</x:v>
      </x:c>
      <x:c r="B15" t="str">
        <x:v>00</x:v>
      </x:c>
      <x:c r="C15" t="str">
        <x:v>10001057925</x:v>
      </x:c>
      <x:c r="D15" t="str">
        <x:v>Mechanical/Part</x:v>
      </x:c>
      <x:c r="E15" t="str">
        <x:v>00</x:v>
      </x:c>
    </x:row>
    <x:row r="16">
      <x:c r="A16" t="str">
        <x:v>10001057925</x:v>
      </x:c>
      <x:c r="B16" t="str">
        <x:v>00</x:v>
      </x:c>
      <x:c r="C16" t="str">
        <x:v>10001057925</x:v>
      </x:c>
      <x:c r="D16" t="str">
        <x:v>Mechanical/Drawing</x:v>
      </x:c>
      <x:c r="E16" t="str">
        <x:v>00</x:v>
      </x:c>
    </x:row>
    <x:row r="17">
      <x:c r="A17" t="str">
        <x:v>10001059687</x:v>
      </x:c>
      <x:c r="B17" t="str">
        <x:v>00</x:v>
      </x:c>
      <x:c r="C17" t="str">
        <x:v>10001059687</x:v>
      </x:c>
      <x:c r="D17" t="str">
        <x:v>Mechanical/Part</x:v>
      </x:c>
      <x:c r="E17" t="str">
        <x:v>00</x:v>
      </x:c>
    </x:row>
    <x:row r="18">
      <x:c r="A18" t="str">
        <x:v>10001059687</x:v>
      </x:c>
      <x:c r="B18" t="str">
        <x:v>00</x:v>
      </x:c>
      <x:c r="C18" t="str">
        <x:v>10001059687</x:v>
      </x:c>
      <x:c r="D18" t="str">
        <x:v>Mechanical/Drawing</x:v>
      </x:c>
      <x:c r="E18" t="str">
        <x:v>00</x:v>
      </x:c>
    </x:row>
    <x:row r="19">
      <x:c r="A19" t="str">
        <x:v>10001059694</x:v>
      </x:c>
      <x:c r="B19" t="str">
        <x:v>00</x:v>
      </x:c>
      <x:c r="C19" t="str">
        <x:v>10001059694</x:v>
      </x:c>
      <x:c r="D19" t="str">
        <x:v>Mechanical/Part</x:v>
      </x:c>
      <x:c r="E19" t="str">
        <x:v>00</x:v>
      </x:c>
    </x:row>
    <x:row r="20">
      <x:c r="A20" t="str">
        <x:v>10001059694</x:v>
      </x:c>
      <x:c r="B20" t="str">
        <x:v>00</x:v>
      </x:c>
      <x:c r="C20" t="str">
        <x:v>10001059694</x:v>
      </x:c>
      <x:c r="D20" t="str">
        <x:v>Mechanical/Drawing</x:v>
      </x:c>
      <x:c r="E20" t="str">
        <x:v>00</x:v>
      </x:c>
    </x:row>
  </x:sheetData>
</x:worksheet>
</file>